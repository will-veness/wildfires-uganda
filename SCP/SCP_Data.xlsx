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246013479554/WOPIServiceId_TP_BOX_2/WOPIUserId_-/"/>
    </mc:Choice>
  </mc:AlternateContent>
  <xr:revisionPtr revIDLastSave="4" documentId="8_{E7C2B1D1-C702-4CA3-ACC5-12C5328A19D4}" xr6:coauthVersionLast="47" xr6:coauthVersionMax="47" xr10:uidLastSave="{BAA4E5F7-B872-4438-AA8A-1314BBECD8B4}"/>
  <bookViews>
    <workbookView xWindow="-110" yWindow="-110" windowWidth="19420" windowHeight="11500" activeTab="1" xr2:uid="{454F59F7-DAD3-4330-80DC-2F02840B839A}"/>
  </bookViews>
  <sheets>
    <sheet name="River Area" sheetId="2" r:id="rId1"/>
    <sheet name="River Width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3" l="1"/>
  <c r="V15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4" i="2"/>
  <c r="E34" i="2" l="1"/>
</calcChain>
</file>

<file path=xl/sharedStrings.xml><?xml version="1.0" encoding="utf-8"?>
<sst xmlns="http://schemas.openxmlformats.org/spreadsheetml/2006/main" count="53" uniqueCount="21">
  <si>
    <t>SCP</t>
  </si>
  <si>
    <t>Year</t>
  </si>
  <si>
    <t>Area [squae kilometer]</t>
  </si>
  <si>
    <t>Erosion</t>
  </si>
  <si>
    <t>average erosion</t>
  </si>
  <si>
    <t>Google earth</t>
  </si>
  <si>
    <t>Area[squae kilometer]</t>
  </si>
  <si>
    <t>Compare</t>
  </si>
  <si>
    <t>Google</t>
  </si>
  <si>
    <t>standard error</t>
  </si>
  <si>
    <t>Average SE</t>
  </si>
  <si>
    <t>Each measuring position is spaced 1km apart</t>
  </si>
  <si>
    <t>Repeat 3 times at each position</t>
  </si>
  <si>
    <t>1)</t>
  </si>
  <si>
    <t>2)</t>
  </si>
  <si>
    <t>3)</t>
  </si>
  <si>
    <t xml:space="preserve"> </t>
  </si>
  <si>
    <t>Average Width at Each Position</t>
  </si>
  <si>
    <t>Na</t>
  </si>
  <si>
    <t>NA</t>
  </si>
  <si>
    <t>Annual erosio (m2/year)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</si>
</sst>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_ 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rgb="FF10121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2006-2012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'River Area'!$A$4:$A$10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xVal>
          <c:yVal>
            <c:numRef>
              <c:f>'River Area'!$E$4:$E$10</c:f>
              <c:numCache>
                <c:formatCode>General</c:formatCode>
                <c:ptCount val="7"/>
                <c:pt idx="0">
                  <c:v>63725.000000000029</c:v>
                </c:pt>
                <c:pt idx="1">
                  <c:v>52074.999999999985</c:v>
                </c:pt>
                <c:pt idx="2">
                  <c:v>79025.000000000015</c:v>
                </c:pt>
                <c:pt idx="3">
                  <c:v>27675.000000000004</c:v>
                </c:pt>
                <c:pt idx="4">
                  <c:v>63949.999999999949</c:v>
                </c:pt>
                <c:pt idx="5">
                  <c:v>73550</c:v>
                </c:pt>
                <c:pt idx="6">
                  <c:v>74725.000000000044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F3-4384-852D-F7543433A94A}"/>
            </c:ext>
          </c:extLst>
        </c:ser>
        <c:ser>
          <c:idx val="1"/>
          <c:order val="1"/>
          <c:tx>
            <c:v>2013-2023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dk1">
                  <a:tint val="55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xVal>
            <c:numRef>
              <c:f>'River Area'!$A$11:$A$21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xVal>
          <c:yVal>
            <c:numRef>
              <c:f>'River Area'!$E$11:$E$21</c:f>
              <c:numCache>
                <c:formatCode>General</c:formatCode>
                <c:ptCount val="11"/>
                <c:pt idx="0">
                  <c:v>400299.99999999988</c:v>
                </c:pt>
                <c:pt idx="1">
                  <c:v>93825.000000000044</c:v>
                </c:pt>
                <c:pt idx="2">
                  <c:v>25200.000000000113</c:v>
                </c:pt>
                <c:pt idx="3">
                  <c:v>109574.99999999997</c:v>
                </c:pt>
                <c:pt idx="4">
                  <c:v>157049.99999999991</c:v>
                </c:pt>
                <c:pt idx="5">
                  <c:v>50850.000000000058</c:v>
                </c:pt>
                <c:pt idx="6">
                  <c:v>127575</c:v>
                </c:pt>
                <c:pt idx="7">
                  <c:v>411524.99999999994</c:v>
                </c:pt>
                <c:pt idx="8">
                  <c:v>224324.99999999988</c:v>
                </c:pt>
                <c:pt idx="9">
                  <c:v>114300.00000000007</c:v>
                </c:pt>
                <c:pt idx="10">
                  <c:v>177525.00000000015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F3-4384-852D-F7543433A94A}"/>
            </c:ext>
          </c:extLst>
        </c:ser>
        <c:ser>
          <c:idx val="2"/>
          <c:order val="2"/>
          <c:tx>
            <c:v>Date of Wildfire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2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0F3-4384-852D-F7543433A94A}"/>
              </c:ext>
            </c:extLst>
          </c:dPt>
          <c:xVal>
            <c:numRef>
              <c:f>'River Area'!$R$3:$R$4</c:f>
              <c:numCache>
                <c:formatCode>General</c:formatCode>
                <c:ptCount val="2"/>
                <c:pt idx="0">
                  <c:v>2012.5</c:v>
                </c:pt>
                <c:pt idx="1">
                  <c:v>2012.5</c:v>
                </c:pt>
              </c:numCache>
            </c:numRef>
          </c:xVal>
          <c:yVal>
            <c:numRef>
              <c:f>'River Area'!$S$3:$S$4</c:f>
              <c:numCache>
                <c:formatCode>General</c:formatCode>
                <c:ptCount val="2"/>
                <c:pt idx="0">
                  <c:v>0</c:v>
                </c:pt>
                <c:pt idx="1">
                  <c:v>500000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F3-4384-852D-F7543433A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492320"/>
        <c:axId val="469492648"/>
      </c:scatterChart>
      <c:valAx>
        <c:axId val="469492320"/>
        <c:scaling>
          <c:orientation val="minMax"/>
          <c:max val="2024"/>
          <c:min val="20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9492648"/>
        <c:crosses val="autoZero"/>
        <c:crossBetween val="midCat"/>
        <c:majorUnit val="2"/>
        <c:minorUnit val="1"/>
      </c:valAx>
      <c:valAx>
        <c:axId val="469492648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900"/>
                  <a:t>Annual</a:t>
                </a:r>
                <a:r>
                  <a:rPr lang="en-GB" sz="900" baseline="0"/>
                  <a:t>ly Eroded Area (m²/year)</a:t>
                </a:r>
                <a:endParaRPr lang="en-GB" sz="900"/>
              </a:p>
            </c:rich>
          </c:tx>
          <c:layout>
            <c:manualLayout>
              <c:xMode val="edge"/>
              <c:yMode val="edge"/>
              <c:x val="1.6362307501317359E-2"/>
              <c:y val="0.208282247980804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9492320"/>
        <c:crosses val="autoZero"/>
        <c:crossBetween val="midCat"/>
        <c:majorUnit val="100000"/>
      </c:valAx>
      <c:spPr>
        <a:noFill/>
        <a:ln>
          <a:solidFill>
            <a:schemeClr val="bg2">
              <a:lumMod val="75000"/>
            </a:scheme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355600</xdr:colOff>
      <xdr:row>0</xdr:row>
      <xdr:rowOff>101601</xdr:rowOff>
    </xdr:from>
    <xdr:to>
      <xdr:col>16</xdr:col>
      <xdr:colOff>65</xdr:colOff>
      <xdr:row>9</xdr:row>
      <xdr:rowOff>168524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F7B83C-DCBF-10FB-4339-1F58C6FF2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0600" y="101601"/>
          <a:ext cx="4529763" cy="1709986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18</xdr:row>
      <xdr:rowOff>161925</xdr:rowOff>
    </xdr:from>
    <xdr:to>
      <xdr:col>22</xdr:col>
      <xdr:colOff>544322</xdr:colOff>
      <xdr:row>32</xdr:row>
      <xdr:rowOff>9875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1B241F-D8AC-8B0E-81FC-1045E49C3168}"/>
            </a:ext>
            <a:ext uri="{147F2762-F138-4A5C-976F-8EAC2B608ADB}">
              <a16:predDERef xmlns:a16="http://schemas.microsoft.com/office/drawing/2014/main" pred="{34F7B83C-DCBF-10FB-4339-1F58C6FF2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400" y="3419475"/>
          <a:ext cx="10012172" cy="2381600"/>
        </a:xfrm>
        <a:prstGeom prst="rect">
          <a:avLst/>
        </a:prstGeom>
      </xdr:spPr>
    </xdr:pic>
    <xdr:clientData/>
  </xdr:twoCellAnchor>
  <xdr:twoCellAnchor>
    <xdr:from>
      <xdr:col>7</xdr:col>
      <xdr:colOff>102922</xdr:colOff>
      <xdr:row>36</xdr:row>
      <xdr:rowOff>74083</xdr:rowOff>
    </xdr:from>
    <xdr:to>
      <xdr:col>16</xdr:col>
      <xdr:colOff>27516</xdr:colOff>
      <xdr:row>52</xdr:row>
      <xdr:rowOff>112183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CBDE4F-BE74-468D-A3F1-349AFEBDFF07}"/>
            </a:ext>
            <a:ext uri="{147F2762-F138-4A5C-976F-8EAC2B608ADB}">
              <a16:predDERef xmlns:a16="http://schemas.microsoft.com/office/drawing/2014/main" pred="{FE1B241F-D8AC-8B0E-81FC-1045E49C3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7EDCE-56F1-4D7E-9B34-763F404EE278}">
  <dimension ref="A1:S37"/>
  <sheetViews>
    <sheetView zoomScale="68" zoomScaleNormal="100" workbookViewId="0">
      <selection activeCell="I15" sqref="I15"/>
    </sheetView>
  </sheetViews>
  <sheetFormatPr defaultRowHeight="14.5" x14ac:dyDescent="0.35"/>
  <cols>
    <col min="2" max="2" width="24.54296875" customWidth="1"/>
    <col min="4" max="4" width="17.7265625" customWidth="1"/>
    <col min="5" max="5" width="14" customWidth="1"/>
  </cols>
  <sheetData>
    <row r="1" spans="1:19" x14ac:dyDescent="0.35">
      <c r="A1" s="7" t="s">
        <v>0</v>
      </c>
    </row>
    <row r="2" spans="1:19" x14ac:dyDescent="0.35">
      <c r="A2" s="4" t="s">
        <v>1</v>
      </c>
      <c r="B2" s="3" t="s">
        <v>2</v>
      </c>
      <c r="C2" s="5" t="s">
        <v>3</v>
      </c>
      <c r="D2" s="4" t="s">
        <v>4</v>
      </c>
      <c r="E2" t="s">
        <v>20</v>
      </c>
    </row>
    <row r="3" spans="1:19" x14ac:dyDescent="0.35">
      <c r="A3" s="4">
        <v>2005</v>
      </c>
      <c r="B3" s="5">
        <v>0.30145</v>
      </c>
      <c r="R3">
        <v>2012.5</v>
      </c>
      <c r="S3">
        <v>0</v>
      </c>
    </row>
    <row r="4" spans="1:19" x14ac:dyDescent="0.35">
      <c r="A4" s="4">
        <v>2006</v>
      </c>
      <c r="B4" s="5">
        <v>0.36517499999999997</v>
      </c>
      <c r="C4" s="5">
        <v>6.3725000000000032E-2</v>
      </c>
      <c r="D4" s="6">
        <v>6.2103571428571397E-2</v>
      </c>
      <c r="E4">
        <f>C4*1000^2</f>
        <v>63725.000000000029</v>
      </c>
      <c r="R4">
        <v>2012.5</v>
      </c>
      <c r="S4">
        <v>500000</v>
      </c>
    </row>
    <row r="5" spans="1:19" x14ac:dyDescent="0.35">
      <c r="A5" s="4">
        <v>2007</v>
      </c>
      <c r="B5" s="5">
        <v>0.41724999999999995</v>
      </c>
      <c r="C5" s="5">
        <v>5.2074999999999982E-2</v>
      </c>
      <c r="D5" s="6"/>
      <c r="E5">
        <f t="shared" ref="E5:E21" si="0">C5*1000^2</f>
        <v>52074.999999999985</v>
      </c>
    </row>
    <row r="6" spans="1:19" x14ac:dyDescent="0.35">
      <c r="A6" s="4">
        <v>2008</v>
      </c>
      <c r="B6" s="5">
        <v>0.49627499999999997</v>
      </c>
      <c r="C6" s="5">
        <v>7.9025000000000012E-2</v>
      </c>
      <c r="D6" s="6"/>
      <c r="E6">
        <f t="shared" si="0"/>
        <v>79025.000000000015</v>
      </c>
    </row>
    <row r="7" spans="1:19" x14ac:dyDescent="0.35">
      <c r="A7" s="4">
        <v>2009</v>
      </c>
      <c r="B7" s="5">
        <v>0.52395000000000003</v>
      </c>
      <c r="C7" s="5">
        <v>2.7675000000000005E-2</v>
      </c>
      <c r="D7" s="6"/>
      <c r="E7">
        <f t="shared" si="0"/>
        <v>27675.000000000004</v>
      </c>
    </row>
    <row r="8" spans="1:19" x14ac:dyDescent="0.35">
      <c r="A8" s="4">
        <v>2010</v>
      </c>
      <c r="B8" s="5">
        <v>0.58789999999999998</v>
      </c>
      <c r="C8" s="5">
        <v>6.3949999999999951E-2</v>
      </c>
      <c r="D8" s="6"/>
      <c r="E8">
        <f t="shared" si="0"/>
        <v>63949.999999999949</v>
      </c>
    </row>
    <row r="9" spans="1:19" x14ac:dyDescent="0.35">
      <c r="A9" s="4">
        <v>2011</v>
      </c>
      <c r="B9" s="5">
        <v>0.66144999999999998</v>
      </c>
      <c r="C9" s="5">
        <v>7.3550000000000004E-2</v>
      </c>
      <c r="D9" s="6"/>
      <c r="E9">
        <f t="shared" si="0"/>
        <v>73550</v>
      </c>
    </row>
    <row r="10" spans="1:19" x14ac:dyDescent="0.35">
      <c r="A10" s="4">
        <v>2012</v>
      </c>
      <c r="B10" s="5">
        <v>0.73617499999999991</v>
      </c>
      <c r="C10" s="5">
        <v>7.4725000000000041E-2</v>
      </c>
      <c r="D10" s="6"/>
      <c r="E10">
        <f t="shared" si="0"/>
        <v>74725.000000000044</v>
      </c>
    </row>
    <row r="11" spans="1:19" x14ac:dyDescent="0.35">
      <c r="A11" s="4">
        <v>2013</v>
      </c>
      <c r="B11" s="5">
        <v>1.1364749999999999</v>
      </c>
      <c r="C11" s="5">
        <v>0.40029999999999988</v>
      </c>
      <c r="D11" s="6">
        <v>0.17200454545454499</v>
      </c>
      <c r="E11">
        <f t="shared" si="0"/>
        <v>400299.99999999988</v>
      </c>
    </row>
    <row r="12" spans="1:19" x14ac:dyDescent="0.35">
      <c r="A12" s="4">
        <v>2014</v>
      </c>
      <c r="B12" s="5">
        <v>1.2302999999999999</v>
      </c>
      <c r="C12" s="5">
        <v>9.3825000000000047E-2</v>
      </c>
      <c r="E12">
        <f t="shared" si="0"/>
        <v>93825.000000000044</v>
      </c>
    </row>
    <row r="13" spans="1:19" x14ac:dyDescent="0.35">
      <c r="A13" s="4">
        <v>2015</v>
      </c>
      <c r="B13" s="5">
        <v>1.2554999999999998</v>
      </c>
      <c r="C13" s="5">
        <v>2.5200000000000111E-2</v>
      </c>
      <c r="E13">
        <f t="shared" si="0"/>
        <v>25200.000000000113</v>
      </c>
    </row>
    <row r="14" spans="1:19" x14ac:dyDescent="0.35">
      <c r="A14" s="4">
        <v>2016</v>
      </c>
      <c r="B14" s="5">
        <v>1.365075</v>
      </c>
      <c r="C14" s="5">
        <v>0.10957499999999998</v>
      </c>
      <c r="E14">
        <f t="shared" si="0"/>
        <v>109574.99999999997</v>
      </c>
    </row>
    <row r="15" spans="1:19" x14ac:dyDescent="0.35">
      <c r="A15" s="4">
        <v>2017</v>
      </c>
      <c r="B15" s="5">
        <v>1.522125</v>
      </c>
      <c r="C15" s="5">
        <v>0.15704999999999991</v>
      </c>
      <c r="E15">
        <f t="shared" si="0"/>
        <v>157049.99999999991</v>
      </c>
    </row>
    <row r="16" spans="1:19" x14ac:dyDescent="0.35">
      <c r="A16" s="4">
        <v>2018</v>
      </c>
      <c r="B16" s="5">
        <v>1.572975</v>
      </c>
      <c r="C16" s="5">
        <v>5.0850000000000062E-2</v>
      </c>
      <c r="E16">
        <f t="shared" si="0"/>
        <v>50850.000000000058</v>
      </c>
    </row>
    <row r="17" spans="1:5" x14ac:dyDescent="0.35">
      <c r="A17" s="4">
        <v>2019</v>
      </c>
      <c r="B17" s="5">
        <v>1.70055</v>
      </c>
      <c r="C17" s="5">
        <v>0.12757499999999999</v>
      </c>
      <c r="E17">
        <f t="shared" si="0"/>
        <v>127575</v>
      </c>
    </row>
    <row r="18" spans="1:5" x14ac:dyDescent="0.35">
      <c r="A18" s="4">
        <v>2020</v>
      </c>
      <c r="B18" s="5">
        <v>2.1120749999999999</v>
      </c>
      <c r="C18" s="5">
        <v>0.41152499999999992</v>
      </c>
      <c r="E18">
        <f t="shared" si="0"/>
        <v>411524.99999999994</v>
      </c>
    </row>
    <row r="19" spans="1:5" x14ac:dyDescent="0.35">
      <c r="A19" s="4">
        <v>2021</v>
      </c>
      <c r="B19" s="5">
        <v>2.3363999999999998</v>
      </c>
      <c r="C19" s="5">
        <v>0.22432499999999989</v>
      </c>
      <c r="E19">
        <f t="shared" si="0"/>
        <v>224324.99999999988</v>
      </c>
    </row>
    <row r="20" spans="1:5" x14ac:dyDescent="0.35">
      <c r="A20" s="4">
        <v>2022</v>
      </c>
      <c r="B20" s="5">
        <v>2.4506999999999999</v>
      </c>
      <c r="C20" s="5">
        <v>0.11430000000000007</v>
      </c>
      <c r="E20">
        <f t="shared" si="0"/>
        <v>114300.00000000007</v>
      </c>
    </row>
    <row r="21" spans="1:5" x14ac:dyDescent="0.35">
      <c r="A21" s="4">
        <v>2023</v>
      </c>
      <c r="B21" s="5">
        <v>2.628225</v>
      </c>
      <c r="C21" s="5">
        <v>0.17752500000000015</v>
      </c>
      <c r="E21">
        <f t="shared" si="0"/>
        <v>177525.00000000015</v>
      </c>
    </row>
    <row r="24" spans="1:5" x14ac:dyDescent="0.35">
      <c r="A24" s="8" t="s">
        <v>5</v>
      </c>
    </row>
    <row r="25" spans="1:5" x14ac:dyDescent="0.35">
      <c r="A25" s="1" t="s">
        <v>1</v>
      </c>
      <c r="B25" s="1" t="s">
        <v>6</v>
      </c>
    </row>
    <row r="26" spans="1:5" x14ac:dyDescent="0.35">
      <c r="A26" s="1">
        <v>2021.2</v>
      </c>
      <c r="B26" s="1">
        <v>2.78</v>
      </c>
    </row>
    <row r="27" spans="1:5" x14ac:dyDescent="0.35">
      <c r="A27" s="1">
        <v>2018.1</v>
      </c>
      <c r="B27" s="1">
        <v>1.78</v>
      </c>
    </row>
    <row r="28" spans="1:5" x14ac:dyDescent="0.35">
      <c r="A28" s="1">
        <v>2014.2</v>
      </c>
      <c r="B28" s="1">
        <v>1.67</v>
      </c>
    </row>
    <row r="29" spans="1:5" x14ac:dyDescent="0.35">
      <c r="A29" s="1">
        <v>2010.1</v>
      </c>
      <c r="B29" s="1">
        <v>0.53</v>
      </c>
    </row>
    <row r="32" spans="1:5" x14ac:dyDescent="0.35">
      <c r="A32" s="8" t="s">
        <v>7</v>
      </c>
    </row>
    <row r="33" spans="1:5" x14ac:dyDescent="0.35">
      <c r="A33" s="4"/>
      <c r="B33" s="4" t="s">
        <v>8</v>
      </c>
      <c r="C33" s="4" t="s">
        <v>0</v>
      </c>
      <c r="D33" s="9" t="s">
        <v>9</v>
      </c>
      <c r="E33" s="4" t="s">
        <v>10</v>
      </c>
    </row>
    <row r="34" spans="1:5" x14ac:dyDescent="0.35">
      <c r="A34" s="4">
        <v>2010.1</v>
      </c>
      <c r="B34" s="4">
        <v>0.5</v>
      </c>
      <c r="C34" s="6">
        <v>0.58789999999999998</v>
      </c>
      <c r="D34" s="9">
        <v>4.3950000000000003E-2</v>
      </c>
      <c r="E34" s="4">
        <f>SUM(D34:D37)/4</f>
        <v>5.4778125000000025E-2</v>
      </c>
    </row>
    <row r="35" spans="1:5" x14ac:dyDescent="0.35">
      <c r="A35" s="4">
        <v>2014.2</v>
      </c>
      <c r="B35" s="4">
        <v>1.45</v>
      </c>
      <c r="C35" s="6">
        <v>1.2302999999999999</v>
      </c>
      <c r="D35" s="9">
        <v>0.10985</v>
      </c>
      <c r="E35" s="4"/>
    </row>
    <row r="36" spans="1:5" x14ac:dyDescent="0.35">
      <c r="A36" s="4">
        <v>2018.1</v>
      </c>
      <c r="B36" s="4">
        <v>1.62</v>
      </c>
      <c r="C36" s="6">
        <v>1.572975</v>
      </c>
      <c r="D36" s="9">
        <v>2.3512499999999999E-2</v>
      </c>
      <c r="E36" s="4"/>
    </row>
    <row r="37" spans="1:5" x14ac:dyDescent="0.35">
      <c r="A37" s="4">
        <v>2021.2</v>
      </c>
      <c r="B37" s="4">
        <v>2.42</v>
      </c>
      <c r="C37" s="6">
        <v>2.3363999999999998</v>
      </c>
      <c r="D37" s="9">
        <v>4.1800000000000101E-2</v>
      </c>
      <c r="E37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3387-4DF1-46C4-821F-B69798F933D1}">
  <dimension ref="A1:BI19"/>
  <sheetViews>
    <sheetView tabSelected="1" zoomScale="80" zoomScaleNormal="80" workbookViewId="0">
      <selection activeCell="D22" sqref="D22"/>
    </sheetView>
  </sheetViews>
  <sheetFormatPr defaultRowHeight="14.5" x14ac:dyDescent="0.35"/>
  <sheetData>
    <row r="1" spans="1:61" s="3" customFormat="1" ht="16.5" x14ac:dyDescent="0.45">
      <c r="A1" s="11" t="s">
        <v>11</v>
      </c>
      <c r="B1" s="7"/>
      <c r="C1" s="7"/>
      <c r="D1" s="7"/>
      <c r="E1" s="7"/>
      <c r="H1" s="2"/>
      <c r="I1" s="7" t="s">
        <v>12</v>
      </c>
      <c r="J1" s="7"/>
      <c r="K1" s="4"/>
      <c r="L1" s="4"/>
      <c r="M1" s="4"/>
      <c r="N1" s="4"/>
      <c r="O1" s="4"/>
      <c r="P1" s="4"/>
      <c r="Q1" s="4"/>
      <c r="R1" s="4"/>
    </row>
    <row r="2" spans="1:61" s="3" customFormat="1" x14ac:dyDescent="0.35">
      <c r="A2" s="4"/>
      <c r="B2" s="12">
        <v>1</v>
      </c>
      <c r="C2" s="12"/>
      <c r="D2" s="12"/>
      <c r="E2" s="12">
        <v>2</v>
      </c>
      <c r="F2" s="12"/>
      <c r="G2" s="12"/>
      <c r="H2" s="12">
        <v>3</v>
      </c>
      <c r="I2" s="12"/>
      <c r="J2" s="12"/>
      <c r="K2" s="12">
        <v>4</v>
      </c>
      <c r="L2" s="12"/>
      <c r="M2" s="12"/>
      <c r="N2" s="12">
        <v>5</v>
      </c>
      <c r="O2" s="12"/>
      <c r="P2" s="12"/>
      <c r="Q2" s="12">
        <v>6</v>
      </c>
      <c r="R2" s="12"/>
      <c r="S2" s="12"/>
      <c r="T2" s="12">
        <v>7</v>
      </c>
      <c r="U2" s="12"/>
      <c r="V2" s="12"/>
      <c r="W2" s="12">
        <v>8</v>
      </c>
      <c r="X2" s="12"/>
      <c r="Y2" s="12"/>
      <c r="Z2" s="12">
        <v>9</v>
      </c>
      <c r="AA2" s="12"/>
      <c r="AB2" s="12"/>
      <c r="AC2" s="12">
        <v>10</v>
      </c>
      <c r="AD2" s="12"/>
      <c r="AE2" s="12"/>
      <c r="AF2" s="12">
        <v>11</v>
      </c>
      <c r="AG2" s="12"/>
      <c r="AH2" s="12"/>
      <c r="AI2" s="12">
        <v>12</v>
      </c>
      <c r="AJ2" s="12"/>
      <c r="AK2" s="12"/>
      <c r="AL2" s="12">
        <v>13</v>
      </c>
      <c r="AM2" s="12"/>
      <c r="AN2" s="12"/>
      <c r="AO2" s="12">
        <v>14</v>
      </c>
      <c r="AP2" s="12"/>
      <c r="AQ2" s="12"/>
      <c r="AR2" s="12">
        <v>15</v>
      </c>
      <c r="AS2" s="12"/>
      <c r="AT2" s="12"/>
      <c r="AU2" s="12">
        <v>16</v>
      </c>
      <c r="AV2" s="12"/>
      <c r="AW2" s="12"/>
      <c r="AX2" s="12">
        <v>17</v>
      </c>
      <c r="AY2" s="12"/>
      <c r="AZ2" s="12"/>
      <c r="BA2" s="12">
        <v>18</v>
      </c>
      <c r="BB2" s="12"/>
      <c r="BC2" s="12"/>
      <c r="BD2" s="12">
        <v>19</v>
      </c>
      <c r="BE2" s="12"/>
      <c r="BF2" s="12"/>
      <c r="BG2" s="12">
        <v>20</v>
      </c>
      <c r="BH2" s="12"/>
      <c r="BI2" s="12"/>
    </row>
    <row r="3" spans="1:61" s="3" customFormat="1" x14ac:dyDescent="0.35">
      <c r="A3" s="4"/>
      <c r="B3" s="4" t="s">
        <v>13</v>
      </c>
      <c r="C3" s="4" t="s">
        <v>14</v>
      </c>
      <c r="D3" s="4" t="s">
        <v>15</v>
      </c>
      <c r="E3" s="4" t="s">
        <v>13</v>
      </c>
      <c r="F3" s="4" t="s">
        <v>14</v>
      </c>
      <c r="G3" s="4" t="s">
        <v>15</v>
      </c>
      <c r="H3" s="4" t="s">
        <v>13</v>
      </c>
      <c r="I3" s="4" t="s">
        <v>14</v>
      </c>
      <c r="J3" s="4" t="s">
        <v>15</v>
      </c>
      <c r="K3" s="4" t="s">
        <v>13</v>
      </c>
      <c r="L3" s="4" t="s">
        <v>14</v>
      </c>
      <c r="M3" s="4" t="s">
        <v>15</v>
      </c>
      <c r="N3" s="4" t="s">
        <v>13</v>
      </c>
      <c r="O3" s="4" t="s">
        <v>14</v>
      </c>
      <c r="P3" s="4" t="s">
        <v>15</v>
      </c>
      <c r="Q3" s="4" t="s">
        <v>13</v>
      </c>
      <c r="R3" s="4" t="s">
        <v>14</v>
      </c>
      <c r="S3" s="4" t="s">
        <v>15</v>
      </c>
      <c r="T3" s="4" t="s">
        <v>13</v>
      </c>
      <c r="U3" s="4" t="s">
        <v>14</v>
      </c>
      <c r="V3" s="4" t="s">
        <v>15</v>
      </c>
    </row>
    <row r="4" spans="1:61" s="3" customFormat="1" x14ac:dyDescent="0.35">
      <c r="A4" s="4">
        <v>2021.2</v>
      </c>
      <c r="B4" s="4">
        <v>41.62</v>
      </c>
      <c r="C4" s="4">
        <v>43.52</v>
      </c>
      <c r="D4" s="4">
        <v>42.79</v>
      </c>
      <c r="E4" s="4">
        <v>121.32</v>
      </c>
      <c r="F4" s="4">
        <v>127.52</v>
      </c>
      <c r="G4" s="4">
        <v>131.66</v>
      </c>
      <c r="H4" s="4">
        <v>94.94</v>
      </c>
      <c r="I4" s="4">
        <v>89.98</v>
      </c>
      <c r="J4" s="4">
        <v>90.72</v>
      </c>
      <c r="K4" s="4">
        <v>115.86</v>
      </c>
      <c r="L4" s="4">
        <v>119.98</v>
      </c>
      <c r="M4" s="4">
        <v>120.89</v>
      </c>
      <c r="N4" s="4">
        <v>120.25</v>
      </c>
      <c r="O4" s="4">
        <v>102.30000000000001</v>
      </c>
      <c r="P4" s="4">
        <v>110.75</v>
      </c>
      <c r="Q4" s="4">
        <v>117.77</v>
      </c>
      <c r="R4" s="4">
        <v>112.35</v>
      </c>
      <c r="S4" s="3">
        <v>115.8</v>
      </c>
      <c r="T4" s="3">
        <v>33.15</v>
      </c>
      <c r="U4" s="3">
        <v>34.619999999999997</v>
      </c>
      <c r="V4" s="3">
        <v>31.65</v>
      </c>
      <c r="W4" s="3">
        <v>97.32</v>
      </c>
      <c r="X4" s="3">
        <v>95.31</v>
      </c>
      <c r="Y4" s="3">
        <v>93.72</v>
      </c>
      <c r="Z4" s="3">
        <v>188.21</v>
      </c>
      <c r="AA4" s="3">
        <v>193.15</v>
      </c>
      <c r="AB4" s="3">
        <v>194.3</v>
      </c>
      <c r="AC4" s="3">
        <v>123.95</v>
      </c>
      <c r="AD4" s="3">
        <v>128.85</v>
      </c>
      <c r="AE4" s="3">
        <v>128.16999999999999</v>
      </c>
      <c r="AF4" s="3">
        <v>181.3</v>
      </c>
      <c r="AG4" s="3">
        <v>184.04</v>
      </c>
      <c r="AH4" s="3">
        <v>186.92</v>
      </c>
      <c r="AI4" s="3">
        <v>86.49</v>
      </c>
      <c r="AJ4" s="3">
        <v>84.82</v>
      </c>
      <c r="AK4" s="3">
        <v>85.51</v>
      </c>
      <c r="AL4" s="3">
        <v>178.5</v>
      </c>
      <c r="AM4" s="3">
        <v>175.81</v>
      </c>
      <c r="AN4" s="3">
        <v>176.4</v>
      </c>
      <c r="AO4" s="3">
        <v>185.63</v>
      </c>
      <c r="AP4" s="3">
        <v>183.89999999999998</v>
      </c>
      <c r="AQ4" s="3">
        <v>184.67000000000002</v>
      </c>
      <c r="AR4" s="3">
        <v>181.75</v>
      </c>
      <c r="AS4" s="3">
        <v>179.05</v>
      </c>
      <c r="AT4" s="3">
        <v>182.31</v>
      </c>
      <c r="AU4" s="3">
        <v>120.86</v>
      </c>
      <c r="AV4" s="3">
        <v>122.81</v>
      </c>
      <c r="AW4" s="3">
        <v>120.48</v>
      </c>
      <c r="AX4" s="3">
        <v>144.41</v>
      </c>
      <c r="AY4" s="3">
        <v>147.37</v>
      </c>
      <c r="AZ4" s="3">
        <v>145.38999999999999</v>
      </c>
      <c r="BA4" s="3">
        <v>156.69999999999999</v>
      </c>
      <c r="BB4" s="3">
        <v>155.13999999999999</v>
      </c>
      <c r="BC4" s="3">
        <v>156.16999999999999</v>
      </c>
      <c r="BD4" s="3">
        <v>235.44</v>
      </c>
      <c r="BE4" s="3">
        <v>237.46</v>
      </c>
      <c r="BF4" s="3">
        <v>232.62</v>
      </c>
      <c r="BG4" s="3">
        <v>178.05</v>
      </c>
      <c r="BH4" s="3">
        <v>181.07</v>
      </c>
      <c r="BI4" s="3">
        <v>174.84</v>
      </c>
    </row>
    <row r="5" spans="1:61" s="3" customFormat="1" x14ac:dyDescent="0.35">
      <c r="A5" s="4">
        <v>2018.1</v>
      </c>
      <c r="B5" s="3">
        <v>33.270000000000003</v>
      </c>
      <c r="C5" s="3">
        <v>37.53</v>
      </c>
      <c r="D5" s="3">
        <v>37.229999999999997</v>
      </c>
      <c r="E5" s="4">
        <v>64.5</v>
      </c>
      <c r="F5" s="4">
        <v>63.3</v>
      </c>
      <c r="G5" s="4">
        <v>66.680000000000007</v>
      </c>
      <c r="H5" s="4">
        <v>77.98</v>
      </c>
      <c r="I5" s="3">
        <v>78.28</v>
      </c>
      <c r="J5" s="4">
        <v>73.66</v>
      </c>
      <c r="K5" s="4">
        <v>71.459999999999994</v>
      </c>
      <c r="L5" s="4">
        <v>71.66</v>
      </c>
      <c r="M5" s="4">
        <v>73.459999999999994</v>
      </c>
      <c r="N5" s="4">
        <v>53.5</v>
      </c>
      <c r="O5" s="4">
        <v>52.43</v>
      </c>
      <c r="P5" s="4">
        <v>52.48</v>
      </c>
      <c r="Q5" s="4">
        <v>62.23</v>
      </c>
      <c r="R5" s="4">
        <v>65.48</v>
      </c>
      <c r="S5" s="3">
        <v>62.92</v>
      </c>
      <c r="T5" s="3">
        <v>15.09</v>
      </c>
      <c r="U5" s="3">
        <v>16.399999999999999</v>
      </c>
      <c r="V5" s="3">
        <v>14.48</v>
      </c>
      <c r="W5" s="3">
        <v>37.67</v>
      </c>
      <c r="X5" s="3">
        <v>36.81</v>
      </c>
      <c r="Y5" s="3">
        <v>37.520000000000003</v>
      </c>
      <c r="Z5" s="3">
        <v>169.88</v>
      </c>
      <c r="AA5" s="3">
        <v>172.37</v>
      </c>
      <c r="AB5" s="3">
        <v>175.08</v>
      </c>
      <c r="AC5" s="3">
        <v>40.340000000000003</v>
      </c>
      <c r="AD5" s="3">
        <v>39.620000000000005</v>
      </c>
      <c r="AE5" s="3">
        <v>40.739999999999995</v>
      </c>
      <c r="AF5" s="3">
        <v>97.76</v>
      </c>
      <c r="AG5" s="3">
        <v>98.87</v>
      </c>
      <c r="AH5" s="3">
        <v>98.14</v>
      </c>
      <c r="AI5" s="3">
        <v>50.72</v>
      </c>
      <c r="AJ5" s="3">
        <v>50.27</v>
      </c>
      <c r="AK5" s="3">
        <v>50.86</v>
      </c>
      <c r="AL5" s="3">
        <v>132.42000000000002</v>
      </c>
      <c r="AM5" s="3">
        <v>136.25</v>
      </c>
      <c r="AN5" s="3">
        <v>138.35</v>
      </c>
      <c r="AO5" s="3">
        <v>118.28999999999999</v>
      </c>
      <c r="AP5" s="3">
        <v>120.06</v>
      </c>
      <c r="AQ5" s="3">
        <v>115.43</v>
      </c>
      <c r="AR5" s="3">
        <v>153.72999999999999</v>
      </c>
      <c r="AS5" s="3">
        <v>156.65</v>
      </c>
      <c r="AT5" s="3">
        <v>154.81</v>
      </c>
      <c r="AU5" s="3">
        <v>114.84</v>
      </c>
      <c r="AV5" s="3">
        <v>109.67</v>
      </c>
      <c r="AW5" s="3">
        <v>108.41</v>
      </c>
      <c r="AX5" s="3">
        <v>139.81</v>
      </c>
      <c r="AY5" s="3">
        <v>139.58000000000001</v>
      </c>
      <c r="AZ5" s="3">
        <v>139.47999999999999</v>
      </c>
      <c r="BA5" s="3">
        <v>48.63</v>
      </c>
      <c r="BB5" s="3">
        <v>49.75</v>
      </c>
      <c r="BC5" s="3">
        <v>49.120000000000005</v>
      </c>
      <c r="BD5" s="3">
        <v>186.33</v>
      </c>
      <c r="BE5" s="3">
        <v>185.67</v>
      </c>
      <c r="BF5" s="3">
        <v>189.53</v>
      </c>
      <c r="BG5" s="3">
        <v>161.66</v>
      </c>
      <c r="BH5" s="3">
        <v>162.46</v>
      </c>
      <c r="BI5" s="3">
        <v>162.16</v>
      </c>
    </row>
    <row r="6" spans="1:61" s="3" customFormat="1" x14ac:dyDescent="0.35">
      <c r="A6" s="4">
        <v>2014.2</v>
      </c>
      <c r="B6" s="4">
        <v>24.49</v>
      </c>
      <c r="C6" s="4">
        <v>26.36</v>
      </c>
      <c r="D6" s="4">
        <v>24.18</v>
      </c>
      <c r="E6" s="4">
        <v>57.8</v>
      </c>
      <c r="F6" s="4">
        <v>60.22</v>
      </c>
      <c r="G6" s="4">
        <v>55.29</v>
      </c>
      <c r="H6" s="4">
        <v>69.8</v>
      </c>
      <c r="I6" s="4">
        <v>67.87</v>
      </c>
      <c r="J6" s="4">
        <v>68.709999999999994</v>
      </c>
      <c r="K6" s="4">
        <v>56</v>
      </c>
      <c r="L6" s="4">
        <v>59.06</v>
      </c>
      <c r="M6" s="4">
        <v>59.62</v>
      </c>
      <c r="N6" s="4">
        <v>39.369999999999997</v>
      </c>
      <c r="O6" s="4">
        <v>36.49</v>
      </c>
      <c r="P6" s="4">
        <v>35.85</v>
      </c>
      <c r="Q6" s="4">
        <v>36.18</v>
      </c>
      <c r="R6" s="4">
        <v>39.71</v>
      </c>
      <c r="S6" s="3">
        <v>37.01</v>
      </c>
      <c r="T6" s="3">
        <v>9.8000000000000007</v>
      </c>
      <c r="U6" s="3">
        <v>7.94</v>
      </c>
      <c r="V6" s="3">
        <v>8.3699999999999992</v>
      </c>
      <c r="W6" s="3">
        <v>32.21</v>
      </c>
      <c r="X6" s="3">
        <v>30.36</v>
      </c>
      <c r="Y6" s="3">
        <v>31.74</v>
      </c>
      <c r="Z6" s="3">
        <v>154.91</v>
      </c>
      <c r="AA6" s="3">
        <v>161.97</v>
      </c>
      <c r="AB6" s="3">
        <v>152.13</v>
      </c>
      <c r="AC6" s="3">
        <v>25.92</v>
      </c>
      <c r="AD6" s="3">
        <v>28.82</v>
      </c>
      <c r="AE6" s="3">
        <v>26.82</v>
      </c>
      <c r="AF6" s="3">
        <v>47.37</v>
      </c>
      <c r="AG6" s="3">
        <v>49.76</v>
      </c>
      <c r="AH6" s="3">
        <v>46.06</v>
      </c>
      <c r="AI6" s="3">
        <v>17.899999999999999</v>
      </c>
      <c r="AJ6" s="3">
        <v>20.72</v>
      </c>
      <c r="AK6" s="3">
        <v>18.55</v>
      </c>
      <c r="AL6" s="3">
        <v>98.03</v>
      </c>
      <c r="AM6" s="3">
        <v>95.79</v>
      </c>
      <c r="AN6" s="3">
        <v>95.149999999999991</v>
      </c>
      <c r="AO6" s="3">
        <v>73.819999999999993</v>
      </c>
      <c r="AP6" s="3">
        <v>72.88</v>
      </c>
      <c r="AQ6" s="3">
        <v>72.069999999999993</v>
      </c>
      <c r="AR6" s="3">
        <v>131.39000000000001</v>
      </c>
      <c r="AS6" s="3">
        <v>131.82</v>
      </c>
      <c r="AT6" s="3">
        <v>126.05</v>
      </c>
      <c r="AU6" s="3">
        <v>97.08</v>
      </c>
      <c r="AV6" s="3">
        <v>98.67</v>
      </c>
      <c r="AW6" s="3">
        <v>97.13</v>
      </c>
      <c r="AX6" s="3">
        <v>116.3</v>
      </c>
      <c r="AY6" s="3">
        <v>111.95</v>
      </c>
      <c r="AZ6" s="3">
        <v>111.82</v>
      </c>
      <c r="BA6" s="3">
        <v>33.549999999999997</v>
      </c>
      <c r="BB6" s="3">
        <v>38.36</v>
      </c>
      <c r="BC6" s="3">
        <v>33.56</v>
      </c>
      <c r="BD6" s="3">
        <v>17.809999999999999</v>
      </c>
      <c r="BE6" s="3">
        <v>17.03</v>
      </c>
      <c r="BF6" s="3">
        <v>18.52</v>
      </c>
      <c r="BG6" s="3">
        <v>143.22999999999999</v>
      </c>
      <c r="BH6" s="3">
        <v>143.44</v>
      </c>
      <c r="BI6" s="3">
        <v>144.66999999999999</v>
      </c>
    </row>
    <row r="7" spans="1:61" s="3" customFormat="1" x14ac:dyDescent="0.35">
      <c r="A7" s="4">
        <v>2010.1</v>
      </c>
      <c r="B7" s="4">
        <v>8.4600000000000009</v>
      </c>
      <c r="C7" s="4">
        <v>9.2100000000000009</v>
      </c>
      <c r="D7" s="4">
        <v>8.8699999999999992</v>
      </c>
      <c r="E7" s="4">
        <v>17.36</v>
      </c>
      <c r="F7" s="4">
        <v>18.600000000000001</v>
      </c>
      <c r="G7" s="4">
        <v>17.989999999999998</v>
      </c>
      <c r="H7" s="4">
        <v>20.22</v>
      </c>
      <c r="I7" s="4">
        <v>20.54</v>
      </c>
      <c r="J7" s="4">
        <v>21.07</v>
      </c>
      <c r="K7" s="4">
        <v>27.7</v>
      </c>
      <c r="L7" s="4">
        <v>29.04</v>
      </c>
      <c r="M7" s="4">
        <v>28.22</v>
      </c>
      <c r="N7" s="4">
        <v>26.79</v>
      </c>
      <c r="O7" s="4">
        <v>28.81</v>
      </c>
      <c r="P7" s="4">
        <v>28.89</v>
      </c>
      <c r="Q7" s="4">
        <v>14.12</v>
      </c>
      <c r="R7" s="4">
        <v>13.69</v>
      </c>
      <c r="S7" s="3">
        <v>14.36</v>
      </c>
      <c r="T7" s="3">
        <v>5.14</v>
      </c>
      <c r="U7" s="3">
        <v>6.12</v>
      </c>
      <c r="V7" s="3">
        <v>6.22</v>
      </c>
      <c r="W7" s="3">
        <v>13.37</v>
      </c>
      <c r="X7" s="3">
        <v>13.27</v>
      </c>
      <c r="Y7" s="3">
        <v>12.78</v>
      </c>
      <c r="Z7" s="3">
        <v>13.22</v>
      </c>
      <c r="AA7" s="3">
        <v>12.81</v>
      </c>
      <c r="AB7" s="3">
        <v>14.55</v>
      </c>
      <c r="AC7" s="3">
        <v>12.19</v>
      </c>
      <c r="AD7" s="3">
        <v>13.14</v>
      </c>
      <c r="AE7" s="3">
        <v>13.17</v>
      </c>
      <c r="AF7" s="3">
        <v>7.95</v>
      </c>
      <c r="AG7" s="3">
        <v>8.4700000000000006</v>
      </c>
      <c r="AH7" s="3">
        <v>8.56</v>
      </c>
      <c r="AI7" s="3">
        <v>11.79</v>
      </c>
      <c r="AJ7" s="3">
        <v>12.95</v>
      </c>
      <c r="AK7" s="3">
        <v>11.68</v>
      </c>
      <c r="AL7" s="3">
        <v>17.53</v>
      </c>
      <c r="AM7" s="3">
        <v>17.78</v>
      </c>
      <c r="AN7" s="3">
        <v>18.36</v>
      </c>
      <c r="AO7" s="3">
        <v>34.26</v>
      </c>
      <c r="AP7" s="3">
        <v>34.01</v>
      </c>
      <c r="AQ7" s="3">
        <v>35.69</v>
      </c>
      <c r="AR7" s="3">
        <v>31.7</v>
      </c>
      <c r="AS7" s="3">
        <v>34.65</v>
      </c>
      <c r="AT7" s="3">
        <v>34.96</v>
      </c>
      <c r="AU7" s="3">
        <v>22.33</v>
      </c>
      <c r="AV7" s="3">
        <v>22.36</v>
      </c>
      <c r="AW7" s="3">
        <v>23.47</v>
      </c>
      <c r="AX7" s="3">
        <v>38.43</v>
      </c>
      <c r="AY7" s="3">
        <v>39.94</v>
      </c>
      <c r="AZ7" s="3">
        <v>38.72</v>
      </c>
      <c r="BA7" s="3">
        <v>21.93</v>
      </c>
      <c r="BB7" s="3">
        <v>23.14</v>
      </c>
      <c r="BC7" s="3">
        <v>22.4</v>
      </c>
      <c r="BD7" s="3">
        <v>14.87</v>
      </c>
      <c r="BE7" s="3">
        <v>13.97</v>
      </c>
      <c r="BF7" s="3">
        <v>15.56</v>
      </c>
      <c r="BG7" s="3">
        <v>11.47</v>
      </c>
      <c r="BH7" s="3">
        <v>11.75</v>
      </c>
      <c r="BI7" s="3">
        <v>10.9</v>
      </c>
    </row>
    <row r="8" spans="1:61" s="3" customFormat="1" x14ac:dyDescent="0.35">
      <c r="A8" s="4">
        <v>2005.1</v>
      </c>
      <c r="B8" s="4" t="s">
        <v>16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W8" s="3">
        <v>8.7200000000000006</v>
      </c>
      <c r="X8" s="3">
        <v>8.15</v>
      </c>
      <c r="Y8" s="3">
        <v>7.59</v>
      </c>
      <c r="Z8" s="3">
        <v>10.27</v>
      </c>
      <c r="AA8" s="3">
        <v>10.27</v>
      </c>
      <c r="AB8" s="3">
        <v>9.41</v>
      </c>
      <c r="AC8" s="3">
        <v>8</v>
      </c>
      <c r="AD8" s="3">
        <v>7.98</v>
      </c>
      <c r="AE8" s="3">
        <v>8.14</v>
      </c>
      <c r="AF8" s="3">
        <v>5.81</v>
      </c>
      <c r="AG8" s="3">
        <v>4.84</v>
      </c>
      <c r="AH8" s="3">
        <v>4.95</v>
      </c>
      <c r="AI8" s="3">
        <v>6.1</v>
      </c>
      <c r="AJ8" s="3">
        <v>5.35</v>
      </c>
      <c r="AK8" s="3">
        <v>5.43</v>
      </c>
      <c r="AL8" s="3">
        <v>9.93</v>
      </c>
      <c r="AM8" s="3">
        <v>9.35</v>
      </c>
      <c r="AN8" s="3">
        <v>10.17</v>
      </c>
    </row>
    <row r="9" spans="1:61" s="3" customForma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61" s="3" customFormat="1" x14ac:dyDescent="0.35"/>
    <row r="11" spans="1:61" s="3" customFormat="1" x14ac:dyDescent="0.35"/>
    <row r="12" spans="1:61" s="3" customFormat="1" x14ac:dyDescent="0.35">
      <c r="A12" s="2" t="s">
        <v>17</v>
      </c>
      <c r="B12" s="2"/>
      <c r="C12" s="2"/>
    </row>
    <row r="13" spans="1:61" s="3" customFormat="1" x14ac:dyDescent="0.35"/>
    <row r="14" spans="1:61" s="3" customFormat="1" x14ac:dyDescent="0.35">
      <c r="A14" s="4"/>
      <c r="B14" s="4">
        <v>1</v>
      </c>
      <c r="C14" s="4">
        <v>2</v>
      </c>
      <c r="D14" s="4">
        <v>3</v>
      </c>
      <c r="E14" s="4">
        <v>4</v>
      </c>
      <c r="F14" s="4">
        <v>5</v>
      </c>
      <c r="G14" s="4">
        <v>6</v>
      </c>
      <c r="H14" s="4">
        <v>7</v>
      </c>
      <c r="I14" s="4">
        <v>8</v>
      </c>
      <c r="J14" s="4">
        <v>9</v>
      </c>
      <c r="K14" s="4">
        <v>10</v>
      </c>
      <c r="L14" s="4">
        <v>11</v>
      </c>
      <c r="M14" s="4">
        <v>12</v>
      </c>
      <c r="N14" s="4">
        <v>13</v>
      </c>
      <c r="O14" s="4">
        <v>14</v>
      </c>
      <c r="P14" s="4">
        <v>15</v>
      </c>
      <c r="Q14" s="4">
        <v>16</v>
      </c>
      <c r="R14" s="4">
        <v>17</v>
      </c>
      <c r="S14" s="4">
        <v>18</v>
      </c>
      <c r="T14" s="4">
        <v>19</v>
      </c>
      <c r="U14" s="4">
        <v>20</v>
      </c>
    </row>
    <row r="15" spans="1:61" s="3" customFormat="1" x14ac:dyDescent="0.35">
      <c r="A15" s="4">
        <v>2021</v>
      </c>
      <c r="B15" s="10">
        <v>42.643333333333338</v>
      </c>
      <c r="C15" s="10">
        <v>126.83333333333333</v>
      </c>
      <c r="D15" s="10">
        <v>91.88</v>
      </c>
      <c r="E15" s="10">
        <v>118.91000000000001</v>
      </c>
      <c r="F15" s="10">
        <v>111.10000000000001</v>
      </c>
      <c r="G15" s="10">
        <v>115.30666666666667</v>
      </c>
      <c r="H15" s="10">
        <v>33.139999999999993</v>
      </c>
      <c r="I15" s="10">
        <v>95.45</v>
      </c>
      <c r="J15" s="10">
        <v>191.88666666666668</v>
      </c>
      <c r="K15" s="10">
        <v>126.99000000000001</v>
      </c>
      <c r="L15" s="10">
        <v>184.08666666666667</v>
      </c>
      <c r="M15" s="10">
        <v>85.606666666666669</v>
      </c>
      <c r="N15" s="10">
        <v>176.90333333333334</v>
      </c>
      <c r="O15" s="10">
        <v>184.73333333333335</v>
      </c>
      <c r="P15" s="10">
        <v>181.03666666666666</v>
      </c>
      <c r="Q15" s="10">
        <v>121.38333333333334</v>
      </c>
      <c r="R15" s="10">
        <v>145.72333333333333</v>
      </c>
      <c r="S15" s="10">
        <v>156.00333333333333</v>
      </c>
      <c r="T15" s="10">
        <v>235.17333333333332</v>
      </c>
      <c r="U15" s="10">
        <v>177.98666666666668</v>
      </c>
      <c r="V15" s="3">
        <f>GEOMEAN(B15:U15)</f>
        <v>123.0015329401085</v>
      </c>
    </row>
    <row r="16" spans="1:61" x14ac:dyDescent="0.35">
      <c r="A16" s="4">
        <v>2018</v>
      </c>
      <c r="B16" s="10">
        <v>36.01</v>
      </c>
      <c r="C16" s="10">
        <v>64.826666666666668</v>
      </c>
      <c r="D16" s="10">
        <v>76.64</v>
      </c>
      <c r="E16" s="10">
        <v>72.193333333333328</v>
      </c>
      <c r="F16" s="10">
        <v>52.803333333333335</v>
      </c>
      <c r="G16" s="10">
        <v>63.543333333333329</v>
      </c>
      <c r="H16" s="10">
        <v>15.323333333333332</v>
      </c>
      <c r="I16" s="10">
        <v>37.333333333333336</v>
      </c>
      <c r="J16" s="10">
        <v>172.44333333333336</v>
      </c>
      <c r="K16" s="10">
        <v>40.233333333333334</v>
      </c>
      <c r="L16" s="10">
        <v>98.256666666666661</v>
      </c>
      <c r="M16" s="10">
        <v>50.616666666666674</v>
      </c>
      <c r="N16" s="10">
        <v>135.67333333333332</v>
      </c>
      <c r="O16" s="10">
        <v>117.92666666666666</v>
      </c>
      <c r="P16" s="10">
        <v>155.06333333333333</v>
      </c>
      <c r="Q16" s="10">
        <v>110.97333333333331</v>
      </c>
      <c r="R16" s="10">
        <v>139.62333333333333</v>
      </c>
      <c r="S16" s="10">
        <v>49.166666666666664</v>
      </c>
      <c r="T16" s="10">
        <v>187.17666666666665</v>
      </c>
      <c r="U16" s="10">
        <v>162.09333333333333</v>
      </c>
    </row>
    <row r="17" spans="1:22" x14ac:dyDescent="0.35">
      <c r="A17" s="4">
        <v>2014</v>
      </c>
      <c r="B17" s="10">
        <v>25.01</v>
      </c>
      <c r="C17" s="10">
        <v>57.77</v>
      </c>
      <c r="D17" s="10">
        <v>68.793333333333337</v>
      </c>
      <c r="E17" s="10">
        <v>58.226666666666667</v>
      </c>
      <c r="F17" s="10">
        <v>37.236666666666672</v>
      </c>
      <c r="G17" s="10">
        <v>37.633333333333333</v>
      </c>
      <c r="H17" s="10">
        <v>8.7033333333333331</v>
      </c>
      <c r="I17" s="10">
        <v>31.436666666666667</v>
      </c>
      <c r="J17" s="10">
        <v>156.33666666666667</v>
      </c>
      <c r="K17" s="10">
        <v>27.186666666666667</v>
      </c>
      <c r="L17" s="10">
        <v>47.73</v>
      </c>
      <c r="M17" s="10">
        <v>19.056666666666668</v>
      </c>
      <c r="N17" s="10">
        <v>96.323333333333323</v>
      </c>
      <c r="O17" s="10">
        <v>72.923333333333332</v>
      </c>
      <c r="P17" s="10">
        <v>129.75333333333336</v>
      </c>
      <c r="Q17" s="10">
        <v>97.626666666666665</v>
      </c>
      <c r="R17" s="10">
        <v>113.35666666666667</v>
      </c>
      <c r="S17" s="10">
        <v>35.156666666666666</v>
      </c>
      <c r="T17" s="10">
        <v>17.786666666666665</v>
      </c>
      <c r="U17" s="10">
        <v>143.77999999999997</v>
      </c>
    </row>
    <row r="18" spans="1:22" x14ac:dyDescent="0.35">
      <c r="A18" s="4">
        <v>2010</v>
      </c>
      <c r="B18" s="10">
        <v>8.8466666666666658</v>
      </c>
      <c r="C18" s="10">
        <v>17.983333333333334</v>
      </c>
      <c r="D18" s="10">
        <v>20.61</v>
      </c>
      <c r="E18" s="10">
        <v>28.319999999999997</v>
      </c>
      <c r="F18" s="10">
        <v>28.16333333333333</v>
      </c>
      <c r="G18" s="10">
        <v>14.056666666666667</v>
      </c>
      <c r="H18" s="10">
        <v>5.8266666666666671</v>
      </c>
      <c r="I18" s="10">
        <v>13.14</v>
      </c>
      <c r="J18" s="10">
        <v>13.526666666666666</v>
      </c>
      <c r="K18" s="10">
        <v>12.833333333333334</v>
      </c>
      <c r="L18" s="10">
        <v>8.326666666666668</v>
      </c>
      <c r="M18" s="10">
        <v>12.14</v>
      </c>
      <c r="N18" s="10">
        <v>17.89</v>
      </c>
      <c r="O18" s="10">
        <v>34.653333333333329</v>
      </c>
      <c r="P18" s="10">
        <v>33.770000000000003</v>
      </c>
      <c r="Q18" s="10">
        <v>22.72</v>
      </c>
      <c r="R18" s="10">
        <v>39.03</v>
      </c>
      <c r="S18" s="10">
        <v>22.49</v>
      </c>
      <c r="T18" s="10">
        <v>14.799999999999999</v>
      </c>
      <c r="U18" s="10">
        <v>11.373333333333333</v>
      </c>
      <c r="V18">
        <f>GEOMEAN(B18:U18)</f>
        <v>16.866414539273979</v>
      </c>
    </row>
    <row r="19" spans="1:22" x14ac:dyDescent="0.35">
      <c r="A19" s="4">
        <v>2005</v>
      </c>
      <c r="B19" s="4" t="s">
        <v>18</v>
      </c>
      <c r="C19" s="4" t="s">
        <v>18</v>
      </c>
      <c r="D19" s="4" t="s">
        <v>18</v>
      </c>
      <c r="E19" s="4" t="s">
        <v>18</v>
      </c>
      <c r="F19" s="4" t="s">
        <v>18</v>
      </c>
      <c r="G19" s="4" t="s">
        <v>18</v>
      </c>
      <c r="H19" s="4" t="s">
        <v>18</v>
      </c>
      <c r="I19" s="10">
        <v>8.1533333333333342</v>
      </c>
      <c r="J19" s="10">
        <v>9.9833333333333325</v>
      </c>
      <c r="K19" s="10">
        <v>8.0400000000000009</v>
      </c>
      <c r="L19" s="10">
        <v>5.1999999999999993</v>
      </c>
      <c r="M19" s="10">
        <v>5.626666666666666</v>
      </c>
      <c r="N19" s="10">
        <v>9.8166666666666682</v>
      </c>
      <c r="O19" s="4" t="s">
        <v>19</v>
      </c>
      <c r="P19" s="4" t="s">
        <v>19</v>
      </c>
      <c r="Q19" s="4" t="s">
        <v>19</v>
      </c>
      <c r="R19" s="4" t="s">
        <v>19</v>
      </c>
      <c r="S19" s="4" t="s">
        <v>19</v>
      </c>
      <c r="T19" s="4" t="s">
        <v>19</v>
      </c>
      <c r="U19" s="4" t="s">
        <v>19</v>
      </c>
    </row>
  </sheetData>
  <mergeCells count="20">
    <mergeCell ref="BD2:BF2"/>
    <mergeCell ref="BG2:BI2"/>
    <mergeCell ref="AL2:AN2"/>
    <mergeCell ref="AO2:AQ2"/>
    <mergeCell ref="AR2:AT2"/>
    <mergeCell ref="AU2:AW2"/>
    <mergeCell ref="AX2:AZ2"/>
    <mergeCell ref="BA2:BC2"/>
    <mergeCell ref="AI2:AK2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13D9A6E22B62438FD22655B324C0AB" ma:contentTypeVersion="18" ma:contentTypeDescription="Create a new document." ma:contentTypeScope="" ma:versionID="2cf900c2705ef40ac83b0a1bd81be3ed">
  <xsd:schema xmlns:xsd="http://www.w3.org/2001/XMLSchema" xmlns:xs="http://www.w3.org/2001/XMLSchema" xmlns:p="http://schemas.microsoft.com/office/2006/metadata/properties" xmlns:ns3="611c12ad-da25-4658-8c74-9258aa82a17a" xmlns:ns4="3cee7525-9b3e-4203-af0f-9092f2101570" targetNamespace="http://schemas.microsoft.com/office/2006/metadata/properties" ma:root="true" ma:fieldsID="7844965df4f399293ced61fe7f344ccf" ns3:_="" ns4:_="">
    <xsd:import namespace="611c12ad-da25-4658-8c74-9258aa82a17a"/>
    <xsd:import namespace="3cee7525-9b3e-4203-af0f-9092f21015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c12ad-da25-4658-8c74-9258aa82a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ee7525-9b3e-4203-af0f-9092f210157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1c12ad-da25-4658-8c74-9258aa82a1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5C27AF-B3F9-49FC-8FD6-111AA8DBF8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c12ad-da25-4658-8c74-9258aa82a17a"/>
    <ds:schemaRef ds:uri="3cee7525-9b3e-4203-af0f-9092f2101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2AE51A-A4EA-4DE3-936F-9C3610E8A8AD}">
  <ds:schemaRefs>
    <ds:schemaRef ds:uri="http://schemas.microsoft.com/office/2006/metadata/properties"/>
    <ds:schemaRef ds:uri="http://schemas.microsoft.com/office/infopath/2007/PartnerControls"/>
    <ds:schemaRef ds:uri="611c12ad-da25-4658-8c74-9258aa82a17a"/>
  </ds:schemaRefs>
</ds:datastoreItem>
</file>

<file path=customXml/itemProps3.xml><?xml version="1.0" encoding="utf-8"?>
<ds:datastoreItem xmlns:ds="http://schemas.openxmlformats.org/officeDocument/2006/customXml" ds:itemID="{FE31BD2B-502A-4AC6-9B17-69A387D60A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River Area</vt:lpstr>
      <vt:lpstr>River Width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Jiayuan Han</dc:creator>
  <cp:keywords/>
  <dc:description/>
  <cp:lastModifiedBy>Martha Day</cp:lastModifiedBy>
  <cp:revision/>
  <dcterms:created xsi:type="dcterms:W3CDTF">2023-08-30T11:41:02Z</dcterms:created>
  <dcterms:modified xsi:type="dcterms:W3CDTF">2026-05-26T09:31:36Z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0x0101000D13D9A6E22B62438FD22655B324C0AB</vt:lpwstr>
  </property>
</Properties>
</file>